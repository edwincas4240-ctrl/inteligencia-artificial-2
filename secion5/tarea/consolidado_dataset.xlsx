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aster" sheetId="1" state="visible" r:id="rId1"/>
    <sheet xmlns:r="http://schemas.openxmlformats.org/officeDocument/2006/relationships" name="Resumen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2" borderId="0" pivotButton="0" quotePrefix="0" xfId="0"/>
    <xf numFmtId="0" fontId="3" fillId="0" borderId="1" pivotButton="0" quotePrefix="0" xfId="0"/>
    <xf numFmtId="166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3" customWidth="1" min="4" max="4"/>
    <col width="20" customWidth="1" min="5" max="5"/>
    <col width="12" customWidth="1" min="6" max="6"/>
    <col width="25" customWidth="1" min="7" max="7"/>
    <col width="14" customWidth="1" min="8" max="8"/>
    <col width="33" customWidth="1" min="9" max="9"/>
    <col width="16" customWidth="1" min="10" max="10"/>
    <col width="28" customWidth="1" min="11" max="11"/>
    <col width="18" customWidth="1" min="12" max="12"/>
    <col width="17" customWidth="1" min="13" max="13"/>
    <col width="17" customWidth="1" min="14" max="14"/>
    <col width="12" customWidth="1" min="15" max="15"/>
    <col width="19" customWidth="1" min="16" max="16"/>
    <col width="19" customWidth="1" min="17" max="17"/>
    <col width="19" customWidth="1" min="18" max="18"/>
    <col width="30" customWidth="1" min="19" max="19"/>
    <col width="28" customWidth="1" min="20" max="20"/>
    <col width="25" customWidth="1" min="21" max="21"/>
    <col width="27" customWidth="1" min="22" max="22"/>
    <col width="16" customWidth="1" min="23" max="23"/>
    <col width="16" customWidth="1" min="24" max="24"/>
    <col width="18" customWidth="1" min="25" max="25"/>
    <col width="29" customWidth="1" min="26" max="26"/>
    <col width="14" customWidth="1" min="27" max="27"/>
    <col width="17" customWidth="1" min="28" max="28"/>
    <col width="19" customWidth="1" min="29" max="29"/>
  </cols>
  <sheetData>
    <row r="1">
      <c r="A1" s="1" t="inlineStr">
        <is>
          <t>DataSet Consolidado de Empleados (Master)</t>
        </is>
      </c>
    </row>
    <row r="3" ht="25" customHeight="1">
      <c r="A3" s="2" t="inlineStr">
        <is>
          <t>ID_Empleado</t>
        </is>
      </c>
      <c r="B3" s="2" t="inlineStr">
        <is>
          <t>Nombre</t>
        </is>
      </c>
      <c r="C3" s="2" t="inlineStr">
        <is>
          <t>Apellido</t>
        </is>
      </c>
      <c r="D3" s="2" t="inlineStr">
        <is>
          <t>Documento_Identidad</t>
        </is>
      </c>
      <c r="E3" s="2" t="inlineStr">
        <is>
          <t>Fecha_Nacimiento</t>
        </is>
      </c>
      <c r="F3" s="2" t="inlineStr">
        <is>
          <t>Genero</t>
        </is>
      </c>
      <c r="G3" s="2" t="inlineStr">
        <is>
          <t>Direccion</t>
        </is>
      </c>
      <c r="H3" s="2" t="inlineStr">
        <is>
          <t>Telefono</t>
        </is>
      </c>
      <c r="I3" s="2" t="inlineStr">
        <is>
          <t>Correo_Electronico</t>
        </is>
      </c>
      <c r="J3" s="2" t="inlineStr">
        <is>
          <t>Estado_Civil</t>
        </is>
      </c>
      <c r="K3" s="2" t="inlineStr">
        <is>
          <t>Cargo</t>
        </is>
      </c>
      <c r="L3" s="2" t="inlineStr">
        <is>
          <t>Departamento</t>
        </is>
      </c>
      <c r="M3" s="2" t="inlineStr">
        <is>
          <t>Tipo_Contrato</t>
        </is>
      </c>
      <c r="N3" s="2" t="inlineStr">
        <is>
          <t>Fecha_Ingreso</t>
        </is>
      </c>
      <c r="O3" s="2" t="inlineStr">
        <is>
          <t>Sede</t>
        </is>
      </c>
      <c r="P3" s="2" t="inlineStr">
        <is>
          <t>Jornada</t>
        </is>
      </c>
      <c r="Q3" s="2" t="inlineStr">
        <is>
          <t>Estado_Empleado</t>
        </is>
      </c>
      <c r="R3" s="2" t="inlineStr">
        <is>
          <t>Nivel_Educativo</t>
        </is>
      </c>
      <c r="S3" s="2" t="inlineStr">
        <is>
          <t>Titulo_Obtenido</t>
        </is>
      </c>
      <c r="T3" s="2" t="inlineStr">
        <is>
          <t>Anios_Experiencia_Previa</t>
        </is>
      </c>
      <c r="U3" s="2" t="inlineStr">
        <is>
          <t>Empresa_Anterior</t>
        </is>
      </c>
      <c r="V3" s="2" t="inlineStr">
        <is>
          <t>Ultimo_Cargo_Previo</t>
        </is>
      </c>
      <c r="W3" s="2" t="inlineStr">
        <is>
          <t>Nivel_Ingles</t>
        </is>
      </c>
      <c r="X3" s="2" t="inlineStr">
        <is>
          <t>Salario_Base</t>
        </is>
      </c>
      <c r="Y3" s="2" t="inlineStr">
        <is>
          <t>Bonificaciones</t>
        </is>
      </c>
      <c r="Z3" s="2" t="inlineStr">
        <is>
          <t>Deducciones_Salud_Pension</t>
        </is>
      </c>
      <c r="AA3" s="2" t="inlineStr">
        <is>
          <t>Neto_Pagar</t>
        </is>
      </c>
      <c r="AB3" s="2" t="inlineStr">
        <is>
          <t>Metodo_Pago</t>
        </is>
      </c>
      <c r="AC3" s="2" t="inlineStr">
        <is>
          <t>Banco</t>
        </is>
      </c>
    </row>
    <row r="4" ht="20" customHeight="1">
      <c r="A4" s="3" t="inlineStr">
        <is>
          <t>EMP001</t>
        </is>
      </c>
      <c r="B4" s="4" t="inlineStr">
        <is>
          <t>Carlos</t>
        </is>
      </c>
      <c r="C4" s="4" t="inlineStr">
        <is>
          <t>Gómez</t>
        </is>
      </c>
      <c r="D4" s="3" t="inlineStr">
        <is>
          <t>1012345678</t>
        </is>
      </c>
      <c r="E4" s="5" t="inlineStr">
        <is>
          <t>1985-04-12</t>
        </is>
      </c>
      <c r="F4" s="3" t="inlineStr">
        <is>
          <t>M</t>
        </is>
      </c>
      <c r="G4" s="4" t="inlineStr">
        <is>
          <t>Calle 45 # 12-34</t>
        </is>
      </c>
      <c r="H4" s="3" t="inlineStr">
        <is>
          <t>3006784239</t>
        </is>
      </c>
      <c r="I4" s="4" t="inlineStr">
        <is>
          <t>carlos.gómez@empresa.com</t>
        </is>
      </c>
      <c r="J4" s="3" t="inlineStr">
        <is>
          <t>Soltero/a</t>
        </is>
      </c>
      <c r="K4" s="4" t="inlineStr">
        <is>
          <t>Analista de Datos</t>
        </is>
      </c>
      <c r="L4" s="4" t="inlineStr">
        <is>
          <t>Tecnología</t>
        </is>
      </c>
      <c r="M4" s="3" t="inlineStr">
        <is>
          <t>Indefinido</t>
        </is>
      </c>
      <c r="N4" s="5" t="inlineStr">
        <is>
          <t>2021-01-15</t>
        </is>
      </c>
      <c r="O4" s="3" t="inlineStr">
        <is>
          <t>Bogotá</t>
        </is>
      </c>
      <c r="P4" s="3" t="inlineStr">
        <is>
          <t>Tiempo Completo</t>
        </is>
      </c>
      <c r="Q4" s="3" t="inlineStr">
        <is>
          <t>Activo</t>
        </is>
      </c>
      <c r="R4" s="3" t="inlineStr">
        <is>
          <t>Profesional</t>
        </is>
      </c>
      <c r="S4" s="4" t="inlineStr">
        <is>
          <t>Ingeniería de Sistemas</t>
        </is>
      </c>
      <c r="T4" s="6" t="n">
        <v>2</v>
      </c>
      <c r="U4" s="4" t="inlineStr">
        <is>
          <t>Tech Solutions</t>
        </is>
      </c>
      <c r="V4" s="4" t="inlineStr">
        <is>
          <t>Analista / Especialista</t>
        </is>
      </c>
      <c r="W4" s="3" t="inlineStr">
        <is>
          <t>B1</t>
        </is>
      </c>
      <c r="X4" s="7" t="n">
        <v>2500000</v>
      </c>
      <c r="Y4" s="7" t="n">
        <v>200000</v>
      </c>
      <c r="Z4" s="7" t="n">
        <v>200000</v>
      </c>
      <c r="AA4" s="7" t="n">
        <v>2500000</v>
      </c>
      <c r="AB4" s="3" t="inlineStr">
        <is>
          <t>Transferencia</t>
        </is>
      </c>
      <c r="AC4" s="4" t="inlineStr">
        <is>
          <t>Bancolombia</t>
        </is>
      </c>
    </row>
    <row r="5" ht="20" customHeight="1">
      <c r="A5" s="8" t="inlineStr">
        <is>
          <t>EMP002</t>
        </is>
      </c>
      <c r="B5" s="9" t="inlineStr">
        <is>
          <t>Ana</t>
        </is>
      </c>
      <c r="C5" s="9" t="inlineStr">
        <is>
          <t>Martínez</t>
        </is>
      </c>
      <c r="D5" s="8" t="inlineStr">
        <is>
          <t>1023456789</t>
        </is>
      </c>
      <c r="E5" s="10" t="inlineStr">
        <is>
          <t>1990-08-23</t>
        </is>
      </c>
      <c r="F5" s="8" t="inlineStr">
        <is>
          <t>F</t>
        </is>
      </c>
      <c r="G5" s="9" t="inlineStr">
        <is>
          <t>Carrera 7 # 89-12</t>
        </is>
      </c>
      <c r="H5" s="8" t="inlineStr">
        <is>
          <t>3003658031</t>
        </is>
      </c>
      <c r="I5" s="9" t="inlineStr">
        <is>
          <t>ana.martínez@empresa.com</t>
        </is>
      </c>
      <c r="J5" s="8" t="inlineStr">
        <is>
          <t>Casado/a</t>
        </is>
      </c>
      <c r="K5" s="9" t="inlineStr">
        <is>
          <t>Desarrollador Senior</t>
        </is>
      </c>
      <c r="L5" s="9" t="inlineStr">
        <is>
          <t>Tecnología</t>
        </is>
      </c>
      <c r="M5" s="8" t="inlineStr">
        <is>
          <t>Fijo a 1 Año</t>
        </is>
      </c>
      <c r="N5" s="10" t="inlineStr">
        <is>
          <t>2022-02-15</t>
        </is>
      </c>
      <c r="O5" s="8" t="inlineStr">
        <is>
          <t>Medellín</t>
        </is>
      </c>
      <c r="P5" s="8" t="inlineStr">
        <is>
          <t>Tiempo Completo</t>
        </is>
      </c>
      <c r="Q5" s="8" t="inlineStr">
        <is>
          <t>Activo</t>
        </is>
      </c>
      <c r="R5" s="8" t="inlineStr">
        <is>
          <t>Maestría</t>
        </is>
      </c>
      <c r="S5" s="9" t="inlineStr">
        <is>
          <t>Administración de Empresas</t>
        </is>
      </c>
      <c r="T5" s="11" t="n">
        <v>3</v>
      </c>
      <c r="U5" s="9" t="inlineStr">
        <is>
          <t>Global Services</t>
        </is>
      </c>
      <c r="V5" s="9" t="inlineStr">
        <is>
          <t>Analista / Especialista</t>
        </is>
      </c>
      <c r="W5" s="8" t="inlineStr">
        <is>
          <t>B2</t>
        </is>
      </c>
      <c r="X5" s="12" t="n">
        <v>2850000</v>
      </c>
      <c r="Y5" s="12" t="n">
        <v>0</v>
      </c>
      <c r="Z5" s="12" t="n">
        <v>228000</v>
      </c>
      <c r="AA5" s="12" t="n">
        <v>2622000</v>
      </c>
      <c r="AB5" s="8" t="inlineStr">
        <is>
          <t>Transferencia</t>
        </is>
      </c>
      <c r="AC5" s="9" t="inlineStr">
        <is>
          <t>Banco de Bogotá</t>
        </is>
      </c>
    </row>
    <row r="6" ht="20" customHeight="1">
      <c r="A6" s="3" t="inlineStr">
        <is>
          <t>EMP003</t>
        </is>
      </c>
      <c r="B6" s="4" t="inlineStr">
        <is>
          <t>Luis</t>
        </is>
      </c>
      <c r="C6" s="4" t="inlineStr">
        <is>
          <t>Rodríguez</t>
        </is>
      </c>
      <c r="D6" s="3" t="inlineStr">
        <is>
          <t>1034567890</t>
        </is>
      </c>
      <c r="E6" s="5" t="inlineStr">
        <is>
          <t>1988-11-05</t>
        </is>
      </c>
      <c r="F6" s="3" t="inlineStr">
        <is>
          <t>M</t>
        </is>
      </c>
      <c r="G6" s="4" t="inlineStr">
        <is>
          <t>Av. Principal # 45-67</t>
        </is>
      </c>
      <c r="H6" s="3" t="inlineStr">
        <is>
          <t>3001295806</t>
        </is>
      </c>
      <c r="I6" s="4" t="inlineStr">
        <is>
          <t>luis.rodríguez@empresa.com</t>
        </is>
      </c>
      <c r="J6" s="3" t="inlineStr">
        <is>
          <t>Unión Libre</t>
        </is>
      </c>
      <c r="K6" s="4" t="inlineStr">
        <is>
          <t>Especialista RRHH</t>
        </is>
      </c>
      <c r="L6" s="4" t="inlineStr">
        <is>
          <t>Talento Humano</t>
        </is>
      </c>
      <c r="M6" s="3" t="inlineStr">
        <is>
          <t>Obra o Labor</t>
        </is>
      </c>
      <c r="N6" s="5" t="inlineStr">
        <is>
          <t>2023-03-15</t>
        </is>
      </c>
      <c r="O6" s="3" t="inlineStr">
        <is>
          <t>Cali</t>
        </is>
      </c>
      <c r="P6" s="3" t="inlineStr">
        <is>
          <t>Tiempo Completo</t>
        </is>
      </c>
      <c r="Q6" s="3" t="inlineStr">
        <is>
          <t>Activo</t>
        </is>
      </c>
      <c r="R6" s="3" t="inlineStr">
        <is>
          <t>Tecnólogo</t>
        </is>
      </c>
      <c r="S6" s="4" t="inlineStr">
        <is>
          <t>Contaduría Pública</t>
        </is>
      </c>
      <c r="T6" s="6" t="n">
        <v>4</v>
      </c>
      <c r="U6" s="4" t="inlineStr">
        <is>
          <t>Consultores Asociados</t>
        </is>
      </c>
      <c r="V6" s="4" t="inlineStr">
        <is>
          <t>Analista / Especialista</t>
        </is>
      </c>
      <c r="W6" s="3" t="inlineStr">
        <is>
          <t>C1</t>
        </is>
      </c>
      <c r="X6" s="7" t="n">
        <v>3200000</v>
      </c>
      <c r="Y6" s="7" t="n">
        <v>200000</v>
      </c>
      <c r="Z6" s="7" t="n">
        <v>256000</v>
      </c>
      <c r="AA6" s="7" t="n">
        <v>3144000</v>
      </c>
      <c r="AB6" s="3" t="inlineStr">
        <is>
          <t>Transferencia</t>
        </is>
      </c>
      <c r="AC6" s="4" t="inlineStr">
        <is>
          <t>Davivienda</t>
        </is>
      </c>
    </row>
    <row r="7" ht="20" customHeight="1">
      <c r="A7" s="8" t="inlineStr">
        <is>
          <t>EMP004</t>
        </is>
      </c>
      <c r="B7" s="9" t="inlineStr">
        <is>
          <t>María</t>
        </is>
      </c>
      <c r="C7" s="9" t="inlineStr">
        <is>
          <t>López</t>
        </is>
      </c>
      <c r="D7" s="8" t="inlineStr">
        <is>
          <t>1045678901</t>
        </is>
      </c>
      <c r="E7" s="10" t="inlineStr">
        <is>
          <t>1995-02-14</t>
        </is>
      </c>
      <c r="F7" s="8" t="inlineStr">
        <is>
          <t>F</t>
        </is>
      </c>
      <c r="G7" s="9" t="inlineStr">
        <is>
          <t>Diagonal 15 # 23-45</t>
        </is>
      </c>
      <c r="H7" s="8" t="inlineStr">
        <is>
          <t>3002544208</t>
        </is>
      </c>
      <c r="I7" s="9" t="inlineStr">
        <is>
          <t>maría.lópez@empresa.com</t>
        </is>
      </c>
      <c r="J7" s="8" t="inlineStr">
        <is>
          <t>Divorciado/a</t>
        </is>
      </c>
      <c r="K7" s="9" t="inlineStr">
        <is>
          <t>Gerente de Proyectos</t>
        </is>
      </c>
      <c r="L7" s="9" t="inlineStr">
        <is>
          <t>Operaciones</t>
        </is>
      </c>
      <c r="M7" s="8" t="inlineStr">
        <is>
          <t>Indefinido</t>
        </is>
      </c>
      <c r="N7" s="10" t="inlineStr">
        <is>
          <t>2024-04-15</t>
        </is>
      </c>
      <c r="O7" s="8" t="inlineStr">
        <is>
          <t>Remoto</t>
        </is>
      </c>
      <c r="P7" s="8" t="inlineStr">
        <is>
          <t>Tiempo Completo</t>
        </is>
      </c>
      <c r="Q7" s="8" t="inlineStr">
        <is>
          <t>Activo</t>
        </is>
      </c>
      <c r="R7" s="8" t="inlineStr">
        <is>
          <t>Profesional</t>
        </is>
      </c>
      <c r="S7" s="9" t="inlineStr">
        <is>
          <t>Diseño Gráfico</t>
        </is>
      </c>
      <c r="T7" s="11" t="n">
        <v>5</v>
      </c>
      <c r="U7" s="9" t="inlineStr">
        <is>
          <t>Banca &amp; Finanzas</t>
        </is>
      </c>
      <c r="V7" s="9" t="inlineStr">
        <is>
          <t>Analista / Especialista</t>
        </is>
      </c>
      <c r="W7" s="8" t="inlineStr">
        <is>
          <t>A2</t>
        </is>
      </c>
      <c r="X7" s="12" t="n">
        <v>3550000</v>
      </c>
      <c r="Y7" s="12" t="n">
        <v>0</v>
      </c>
      <c r="Z7" s="12" t="n">
        <v>284000</v>
      </c>
      <c r="AA7" s="12" t="n">
        <v>3266000</v>
      </c>
      <c r="AB7" s="8" t="inlineStr">
        <is>
          <t>Transferencia</t>
        </is>
      </c>
      <c r="AC7" s="9" t="inlineStr">
        <is>
          <t>BBVA</t>
        </is>
      </c>
    </row>
    <row r="8" ht="20" customHeight="1">
      <c r="A8" s="3" t="inlineStr">
        <is>
          <t>EMP005</t>
        </is>
      </c>
      <c r="B8" s="4" t="inlineStr">
        <is>
          <t>Jorge</t>
        </is>
      </c>
      <c r="C8" s="4" t="inlineStr">
        <is>
          <t>Pérez</t>
        </is>
      </c>
      <c r="D8" s="3" t="inlineStr">
        <is>
          <t>1056789012</t>
        </is>
      </c>
      <c r="E8" s="5" t="inlineStr">
        <is>
          <t>1982-06-30</t>
        </is>
      </c>
      <c r="F8" s="3" t="inlineStr">
        <is>
          <t>M</t>
        </is>
      </c>
      <c r="G8" s="4" t="inlineStr">
        <is>
          <t>Transversal 8 # 56-78</t>
        </is>
      </c>
      <c r="H8" s="3" t="inlineStr">
        <is>
          <t>3009707943</t>
        </is>
      </c>
      <c r="I8" s="4" t="inlineStr">
        <is>
          <t>jorge.pérez@empresa.com</t>
        </is>
      </c>
      <c r="J8" s="3" t="inlineStr">
        <is>
          <t>Soltero/a</t>
        </is>
      </c>
      <c r="K8" s="4" t="inlineStr">
        <is>
          <t>Contador</t>
        </is>
      </c>
      <c r="L8" s="4" t="inlineStr">
        <is>
          <t>Finanzas</t>
        </is>
      </c>
      <c r="M8" s="3" t="inlineStr">
        <is>
          <t>Indefinido</t>
        </is>
      </c>
      <c r="N8" s="5" t="inlineStr">
        <is>
          <t>2021-05-15</t>
        </is>
      </c>
      <c r="O8" s="3" t="inlineStr">
        <is>
          <t>Bogotá</t>
        </is>
      </c>
      <c r="P8" s="3" t="inlineStr">
        <is>
          <t>Tiempo Completo</t>
        </is>
      </c>
      <c r="Q8" s="3" t="inlineStr">
        <is>
          <t>Activo</t>
        </is>
      </c>
      <c r="R8" s="3" t="inlineStr">
        <is>
          <t>Especialización</t>
        </is>
      </c>
      <c r="S8" s="4" t="inlineStr">
        <is>
          <t>Ingeniería Industrial</t>
        </is>
      </c>
      <c r="T8" s="6" t="n">
        <v>6</v>
      </c>
      <c r="U8" s="4" t="inlineStr">
        <is>
          <t>Innovate Corp</t>
        </is>
      </c>
      <c r="V8" s="4" t="inlineStr">
        <is>
          <t>Analista / Especialista</t>
        </is>
      </c>
      <c r="W8" s="3" t="inlineStr">
        <is>
          <t>B2</t>
        </is>
      </c>
      <c r="X8" s="7" t="n">
        <v>3900000</v>
      </c>
      <c r="Y8" s="7" t="n">
        <v>200000</v>
      </c>
      <c r="Z8" s="7" t="n">
        <v>312000</v>
      </c>
      <c r="AA8" s="7" t="n">
        <v>3788000</v>
      </c>
      <c r="AB8" s="3" t="inlineStr">
        <is>
          <t>Transferencia</t>
        </is>
      </c>
      <c r="AC8" s="4" t="inlineStr">
        <is>
          <t>Bancolombia</t>
        </is>
      </c>
    </row>
    <row r="9" ht="20" customHeight="1">
      <c r="A9" s="8" t="inlineStr">
        <is>
          <t>EMP006</t>
        </is>
      </c>
      <c r="B9" s="9" t="inlineStr">
        <is>
          <t>Laura</t>
        </is>
      </c>
      <c r="C9" s="9" t="inlineStr">
        <is>
          <t>Sánchez</t>
        </is>
      </c>
      <c r="D9" s="8" t="inlineStr">
        <is>
          <t>1067890123</t>
        </is>
      </c>
      <c r="E9" s="10" t="inlineStr">
        <is>
          <t>1992-09-18</t>
        </is>
      </c>
      <c r="F9" s="8" t="inlineStr">
        <is>
          <t>F</t>
        </is>
      </c>
      <c r="G9" s="9" t="inlineStr">
        <is>
          <t>Calle 45 # 12-34</t>
        </is>
      </c>
      <c r="H9" s="8" t="inlineStr">
        <is>
          <t>3002869146</t>
        </is>
      </c>
      <c r="I9" s="9" t="inlineStr">
        <is>
          <t>laura.sánchez@empresa.com</t>
        </is>
      </c>
      <c r="J9" s="8" t="inlineStr">
        <is>
          <t>Casado/a</t>
        </is>
      </c>
      <c r="K9" s="9" t="inlineStr">
        <is>
          <t>Asistente Administrativo</t>
        </is>
      </c>
      <c r="L9" s="9" t="inlineStr">
        <is>
          <t>Administración</t>
        </is>
      </c>
      <c r="M9" s="8" t="inlineStr">
        <is>
          <t>Fijo a 1 Año</t>
        </is>
      </c>
      <c r="N9" s="10" t="inlineStr">
        <is>
          <t>2022-06-15</t>
        </is>
      </c>
      <c r="O9" s="8" t="inlineStr">
        <is>
          <t>Medellín</t>
        </is>
      </c>
      <c r="P9" s="8" t="inlineStr">
        <is>
          <t>Tiempo Completo</t>
        </is>
      </c>
      <c r="Q9" s="8" t="inlineStr">
        <is>
          <t>Activo</t>
        </is>
      </c>
      <c r="R9" s="8" t="inlineStr">
        <is>
          <t>Profesional</t>
        </is>
      </c>
      <c r="S9" s="9" t="inlineStr">
        <is>
          <t>Ingeniería de Sistemas</t>
        </is>
      </c>
      <c r="T9" s="11" t="n">
        <v>7</v>
      </c>
      <c r="U9" s="9" t="inlineStr">
        <is>
          <t>Tech Solutions</t>
        </is>
      </c>
      <c r="V9" s="9" t="inlineStr">
        <is>
          <t>Analista / Especialista</t>
        </is>
      </c>
      <c r="W9" s="8" t="inlineStr">
        <is>
          <t>B1</t>
        </is>
      </c>
      <c r="X9" s="12" t="n">
        <v>4250000</v>
      </c>
      <c r="Y9" s="12" t="n">
        <v>0</v>
      </c>
      <c r="Z9" s="12" t="n">
        <v>340000</v>
      </c>
      <c r="AA9" s="12" t="n">
        <v>3910000</v>
      </c>
      <c r="AB9" s="8" t="inlineStr">
        <is>
          <t>Transferencia</t>
        </is>
      </c>
      <c r="AC9" s="9" t="inlineStr">
        <is>
          <t>Banco de Bogotá</t>
        </is>
      </c>
    </row>
    <row r="10" ht="20" customHeight="1">
      <c r="A10" s="3" t="inlineStr">
        <is>
          <t>EMP007</t>
        </is>
      </c>
      <c r="B10" s="4" t="inlineStr">
        <is>
          <t>Diego</t>
        </is>
      </c>
      <c r="C10" s="4" t="inlineStr">
        <is>
          <t>Ramírez</t>
        </is>
      </c>
      <c r="D10" s="3" t="inlineStr">
        <is>
          <t>1078901234</t>
        </is>
      </c>
      <c r="E10" s="5" t="inlineStr">
        <is>
          <t>1987-12-01</t>
        </is>
      </c>
      <c r="F10" s="3" t="inlineStr">
        <is>
          <t>M</t>
        </is>
      </c>
      <c r="G10" s="4" t="inlineStr">
        <is>
          <t>Carrera 7 # 89-12</t>
        </is>
      </c>
      <c r="H10" s="3" t="inlineStr">
        <is>
          <t>3006421858</t>
        </is>
      </c>
      <c r="I10" s="4" t="inlineStr">
        <is>
          <t>diego.ramírez@empresa.com</t>
        </is>
      </c>
      <c r="J10" s="3" t="inlineStr">
        <is>
          <t>Unión Libre</t>
        </is>
      </c>
      <c r="K10" s="4" t="inlineStr">
        <is>
          <t>Líder de Soporte</t>
        </is>
      </c>
      <c r="L10" s="4" t="inlineStr">
        <is>
          <t>Tecnología</t>
        </is>
      </c>
      <c r="M10" s="3" t="inlineStr">
        <is>
          <t>Obra o Labor</t>
        </is>
      </c>
      <c r="N10" s="5" t="inlineStr">
        <is>
          <t>2023-07-15</t>
        </is>
      </c>
      <c r="O10" s="3" t="inlineStr">
        <is>
          <t>Cali</t>
        </is>
      </c>
      <c r="P10" s="3" t="inlineStr">
        <is>
          <t>Tiempo Completo</t>
        </is>
      </c>
      <c r="Q10" s="3" t="inlineStr">
        <is>
          <t>Activo</t>
        </is>
      </c>
      <c r="R10" s="3" t="inlineStr">
        <is>
          <t>Maestría</t>
        </is>
      </c>
      <c r="S10" s="4" t="inlineStr">
        <is>
          <t>Administración de Empresas</t>
        </is>
      </c>
      <c r="T10" s="6" t="n">
        <v>8</v>
      </c>
      <c r="U10" s="4" t="inlineStr">
        <is>
          <t>Global Services</t>
        </is>
      </c>
      <c r="V10" s="4" t="inlineStr">
        <is>
          <t>Analista / Especialista</t>
        </is>
      </c>
      <c r="W10" s="3" t="inlineStr">
        <is>
          <t>B2</t>
        </is>
      </c>
      <c r="X10" s="7" t="n">
        <v>4600000</v>
      </c>
      <c r="Y10" s="7" t="n">
        <v>200000</v>
      </c>
      <c r="Z10" s="7" t="n">
        <v>368000</v>
      </c>
      <c r="AA10" s="7" t="n">
        <v>4432000</v>
      </c>
      <c r="AB10" s="3" t="inlineStr">
        <is>
          <t>Transferencia</t>
        </is>
      </c>
      <c r="AC10" s="4" t="inlineStr">
        <is>
          <t>Davivienda</t>
        </is>
      </c>
    </row>
    <row r="11" ht="20" customHeight="1">
      <c r="A11" s="8" t="inlineStr">
        <is>
          <t>EMP008</t>
        </is>
      </c>
      <c r="B11" s="9" t="inlineStr">
        <is>
          <t>Sofia</t>
        </is>
      </c>
      <c r="C11" s="9" t="inlineStr">
        <is>
          <t>Torres</t>
        </is>
      </c>
      <c r="D11" s="8" t="inlineStr">
        <is>
          <t>1089012345</t>
        </is>
      </c>
      <c r="E11" s="10" t="inlineStr">
        <is>
          <t>1994-03-22</t>
        </is>
      </c>
      <c r="F11" s="8" t="inlineStr">
        <is>
          <t>F</t>
        </is>
      </c>
      <c r="G11" s="9" t="inlineStr">
        <is>
          <t>Av. Principal # 45-67</t>
        </is>
      </c>
      <c r="H11" s="8" t="inlineStr">
        <is>
          <t>3006932797</t>
        </is>
      </c>
      <c r="I11" s="9" t="inlineStr">
        <is>
          <t>sofia.torres@empresa.com</t>
        </is>
      </c>
      <c r="J11" s="8" t="inlineStr">
        <is>
          <t>Divorciado/a</t>
        </is>
      </c>
      <c r="K11" s="9" t="inlineStr">
        <is>
          <t>Diseñador UX</t>
        </is>
      </c>
      <c r="L11" s="9" t="inlineStr">
        <is>
          <t>Diseño</t>
        </is>
      </c>
      <c r="M11" s="8" t="inlineStr">
        <is>
          <t>Indefinido</t>
        </is>
      </c>
      <c r="N11" s="10" t="inlineStr">
        <is>
          <t>2024-08-15</t>
        </is>
      </c>
      <c r="O11" s="8" t="inlineStr">
        <is>
          <t>Remoto</t>
        </is>
      </c>
      <c r="P11" s="8" t="inlineStr">
        <is>
          <t>Tiempo Completo</t>
        </is>
      </c>
      <c r="Q11" s="8" t="inlineStr">
        <is>
          <t>Activo</t>
        </is>
      </c>
      <c r="R11" s="8" t="inlineStr">
        <is>
          <t>Tecnólogo</t>
        </is>
      </c>
      <c r="S11" s="9" t="inlineStr">
        <is>
          <t>Contaduría Pública</t>
        </is>
      </c>
      <c r="T11" s="11" t="n">
        <v>9</v>
      </c>
      <c r="U11" s="9" t="inlineStr">
        <is>
          <t>Consultores Asociados</t>
        </is>
      </c>
      <c r="V11" s="9" t="inlineStr">
        <is>
          <t>Analista / Especialista</t>
        </is>
      </c>
      <c r="W11" s="8" t="inlineStr">
        <is>
          <t>C1</t>
        </is>
      </c>
      <c r="X11" s="12" t="n">
        <v>4950000</v>
      </c>
      <c r="Y11" s="12" t="n">
        <v>0</v>
      </c>
      <c r="Z11" s="12" t="n">
        <v>396000</v>
      </c>
      <c r="AA11" s="12" t="n">
        <v>4554000</v>
      </c>
      <c r="AB11" s="8" t="inlineStr">
        <is>
          <t>Transferencia</t>
        </is>
      </c>
      <c r="AC11" s="9" t="inlineStr">
        <is>
          <t>BBVA</t>
        </is>
      </c>
    </row>
    <row r="12" ht="20" customHeight="1">
      <c r="A12" s="3" t="inlineStr">
        <is>
          <t>EMP009</t>
        </is>
      </c>
      <c r="B12" s="4" t="inlineStr">
        <is>
          <t>Andrés</t>
        </is>
      </c>
      <c r="C12" s="4" t="inlineStr">
        <is>
          <t>Flores</t>
        </is>
      </c>
      <c r="D12" s="3" t="inlineStr">
        <is>
          <t>1090123456</t>
        </is>
      </c>
      <c r="E12" s="5" t="inlineStr">
        <is>
          <t>1989-07-11</t>
        </is>
      </c>
      <c r="F12" s="3" t="inlineStr">
        <is>
          <t>M</t>
        </is>
      </c>
      <c r="G12" s="4" t="inlineStr">
        <is>
          <t>Diagonal 15 # 23-45</t>
        </is>
      </c>
      <c r="H12" s="3" t="inlineStr">
        <is>
          <t>3006638009</t>
        </is>
      </c>
      <c r="I12" s="4" t="inlineStr">
        <is>
          <t>andrés.flores@empresa.com</t>
        </is>
      </c>
      <c r="J12" s="3" t="inlineStr">
        <is>
          <t>Soltero/a</t>
        </is>
      </c>
      <c r="K12" s="4" t="inlineStr">
        <is>
          <t>Analista de Datos</t>
        </is>
      </c>
      <c r="L12" s="4" t="inlineStr">
        <is>
          <t>Tecnología</t>
        </is>
      </c>
      <c r="M12" s="3" t="inlineStr">
        <is>
          <t>Indefinido</t>
        </is>
      </c>
      <c r="N12" s="5" t="inlineStr">
        <is>
          <t>2021-09-15</t>
        </is>
      </c>
      <c r="O12" s="3" t="inlineStr">
        <is>
          <t>Bogotá</t>
        </is>
      </c>
      <c r="P12" s="3" t="inlineStr">
        <is>
          <t>Tiempo Completo</t>
        </is>
      </c>
      <c r="Q12" s="3" t="inlineStr">
        <is>
          <t>Activo</t>
        </is>
      </c>
      <c r="R12" s="3" t="inlineStr">
        <is>
          <t>Profesional</t>
        </is>
      </c>
      <c r="S12" s="4" t="inlineStr">
        <is>
          <t>Diseño Gráfico</t>
        </is>
      </c>
      <c r="T12" s="6" t="n">
        <v>2</v>
      </c>
      <c r="U12" s="4" t="inlineStr">
        <is>
          <t>Banca &amp; Finanzas</t>
        </is>
      </c>
      <c r="V12" s="4" t="inlineStr">
        <is>
          <t>Analista / Especialista</t>
        </is>
      </c>
      <c r="W12" s="3" t="inlineStr">
        <is>
          <t>A2</t>
        </is>
      </c>
      <c r="X12" s="7" t="n">
        <v>5300000</v>
      </c>
      <c r="Y12" s="7" t="n">
        <v>200000</v>
      </c>
      <c r="Z12" s="7" t="n">
        <v>424000</v>
      </c>
      <c r="AA12" s="7" t="n">
        <v>5076000</v>
      </c>
      <c r="AB12" s="3" t="inlineStr">
        <is>
          <t>Transferencia</t>
        </is>
      </c>
      <c r="AC12" s="4" t="inlineStr">
        <is>
          <t>Bancolombia</t>
        </is>
      </c>
    </row>
    <row r="13" ht="20" customHeight="1">
      <c r="A13" s="8" t="inlineStr">
        <is>
          <t>EMP010</t>
        </is>
      </c>
      <c r="B13" s="9" t="inlineStr">
        <is>
          <t>Paula</t>
        </is>
      </c>
      <c r="C13" s="9" t="inlineStr">
        <is>
          <t>Díaz</t>
        </is>
      </c>
      <c r="D13" s="8" t="inlineStr">
        <is>
          <t>1101234567</t>
        </is>
      </c>
      <c r="E13" s="10" t="inlineStr">
        <is>
          <t>1996-10-05</t>
        </is>
      </c>
      <c r="F13" s="8" t="inlineStr">
        <is>
          <t>F</t>
        </is>
      </c>
      <c r="G13" s="9" t="inlineStr">
        <is>
          <t>Transversal 8 # 56-78</t>
        </is>
      </c>
      <c r="H13" s="8" t="inlineStr">
        <is>
          <t>3005203205</t>
        </is>
      </c>
      <c r="I13" s="9" t="inlineStr">
        <is>
          <t>paula.díaz@empresa.com</t>
        </is>
      </c>
      <c r="J13" s="8" t="inlineStr">
        <is>
          <t>Casado/a</t>
        </is>
      </c>
      <c r="K13" s="9" t="inlineStr">
        <is>
          <t>Desarrollador Senior</t>
        </is>
      </c>
      <c r="L13" s="9" t="inlineStr">
        <is>
          <t>Tecnología</t>
        </is>
      </c>
      <c r="M13" s="8" t="inlineStr">
        <is>
          <t>Fijo a 1 Año</t>
        </is>
      </c>
      <c r="N13" s="10" t="inlineStr">
        <is>
          <t>2022-01-15</t>
        </is>
      </c>
      <c r="O13" s="8" t="inlineStr">
        <is>
          <t>Medellín</t>
        </is>
      </c>
      <c r="P13" s="8" t="inlineStr">
        <is>
          <t>Tiempo Completo</t>
        </is>
      </c>
      <c r="Q13" s="8" t="inlineStr">
        <is>
          <t>Activo</t>
        </is>
      </c>
      <c r="R13" s="8" t="inlineStr">
        <is>
          <t>Especialización</t>
        </is>
      </c>
      <c r="S13" s="9" t="inlineStr">
        <is>
          <t>Ingeniería Industrial</t>
        </is>
      </c>
      <c r="T13" s="11" t="n">
        <v>3</v>
      </c>
      <c r="U13" s="9" t="inlineStr">
        <is>
          <t>Innovate Corp</t>
        </is>
      </c>
      <c r="V13" s="9" t="inlineStr">
        <is>
          <t>Analista / Especialista</t>
        </is>
      </c>
      <c r="W13" s="8" t="inlineStr">
        <is>
          <t>B2</t>
        </is>
      </c>
      <c r="X13" s="12" t="n">
        <v>5650000</v>
      </c>
      <c r="Y13" s="12" t="n">
        <v>0</v>
      </c>
      <c r="Z13" s="12" t="n">
        <v>452000</v>
      </c>
      <c r="AA13" s="12" t="n">
        <v>5198000</v>
      </c>
      <c r="AB13" s="8" t="inlineStr">
        <is>
          <t>Transferencia</t>
        </is>
      </c>
      <c r="AC13" s="9" t="inlineStr">
        <is>
          <t>Banco de Bogotá</t>
        </is>
      </c>
    </row>
    <row r="14" ht="20" customHeight="1">
      <c r="A14" s="3" t="inlineStr">
        <is>
          <t>EMP011</t>
        </is>
      </c>
      <c r="B14" s="4" t="inlineStr">
        <is>
          <t>Gabriel</t>
        </is>
      </c>
      <c r="C14" s="4" t="inlineStr">
        <is>
          <t>Vargas</t>
        </is>
      </c>
      <c r="D14" s="3" t="inlineStr">
        <is>
          <t>1112345678</t>
        </is>
      </c>
      <c r="E14" s="5" t="inlineStr">
        <is>
          <t>1984-01-25</t>
        </is>
      </c>
      <c r="F14" s="3" t="inlineStr">
        <is>
          <t>M</t>
        </is>
      </c>
      <c r="G14" s="4" t="inlineStr">
        <is>
          <t>Calle 45 # 12-34</t>
        </is>
      </c>
      <c r="H14" s="3" t="inlineStr">
        <is>
          <t>3003946205</t>
        </is>
      </c>
      <c r="I14" s="4" t="inlineStr">
        <is>
          <t>gabriel.vargas@empresa.com</t>
        </is>
      </c>
      <c r="J14" s="3" t="inlineStr">
        <is>
          <t>Unión Libre</t>
        </is>
      </c>
      <c r="K14" s="4" t="inlineStr">
        <is>
          <t>Especialista RRHH</t>
        </is>
      </c>
      <c r="L14" s="4" t="inlineStr">
        <is>
          <t>Talento Humano</t>
        </is>
      </c>
      <c r="M14" s="3" t="inlineStr">
        <is>
          <t>Obra o Labor</t>
        </is>
      </c>
      <c r="N14" s="5" t="inlineStr">
        <is>
          <t>2023-02-15</t>
        </is>
      </c>
      <c r="O14" s="3" t="inlineStr">
        <is>
          <t>Cali</t>
        </is>
      </c>
      <c r="P14" s="3" t="inlineStr">
        <is>
          <t>Tiempo Completo</t>
        </is>
      </c>
      <c r="Q14" s="3" t="inlineStr">
        <is>
          <t>Activo</t>
        </is>
      </c>
      <c r="R14" s="3" t="inlineStr">
        <is>
          <t>Profesional</t>
        </is>
      </c>
      <c r="S14" s="4" t="inlineStr">
        <is>
          <t>Ingeniería de Sistemas</t>
        </is>
      </c>
      <c r="T14" s="6" t="n">
        <v>4</v>
      </c>
      <c r="U14" s="4" t="inlineStr">
        <is>
          <t>Tech Solutions</t>
        </is>
      </c>
      <c r="V14" s="4" t="inlineStr">
        <is>
          <t>Analista / Especialista</t>
        </is>
      </c>
      <c r="W14" s="3" t="inlineStr">
        <is>
          <t>B1</t>
        </is>
      </c>
      <c r="X14" s="7" t="n">
        <v>6000000</v>
      </c>
      <c r="Y14" s="7" t="n">
        <v>200000</v>
      </c>
      <c r="Z14" s="7" t="n">
        <v>480000</v>
      </c>
      <c r="AA14" s="7" t="n">
        <v>5720000</v>
      </c>
      <c r="AB14" s="3" t="inlineStr">
        <is>
          <t>Transferencia</t>
        </is>
      </c>
      <c r="AC14" s="4" t="inlineStr">
        <is>
          <t>Davivienda</t>
        </is>
      </c>
    </row>
    <row r="15" ht="20" customHeight="1">
      <c r="A15" s="8" t="inlineStr">
        <is>
          <t>EMP012</t>
        </is>
      </c>
      <c r="B15" s="9" t="inlineStr">
        <is>
          <t>Camila</t>
        </is>
      </c>
      <c r="C15" s="9" t="inlineStr">
        <is>
          <t>Castro</t>
        </is>
      </c>
      <c r="D15" s="8" t="inlineStr">
        <is>
          <t>1123456789</t>
        </is>
      </c>
      <c r="E15" s="10" t="inlineStr">
        <is>
          <t>1991-05-19</t>
        </is>
      </c>
      <c r="F15" s="8" t="inlineStr">
        <is>
          <t>F</t>
        </is>
      </c>
      <c r="G15" s="9" t="inlineStr">
        <is>
          <t>Carrera 7 # 89-12</t>
        </is>
      </c>
      <c r="H15" s="8" t="inlineStr">
        <is>
          <t>3001006974</t>
        </is>
      </c>
      <c r="I15" s="9" t="inlineStr">
        <is>
          <t>camila.castro@empresa.com</t>
        </is>
      </c>
      <c r="J15" s="8" t="inlineStr">
        <is>
          <t>Divorciado/a</t>
        </is>
      </c>
      <c r="K15" s="9" t="inlineStr">
        <is>
          <t>Gerente de Proyectos</t>
        </is>
      </c>
      <c r="L15" s="9" t="inlineStr">
        <is>
          <t>Operaciones</t>
        </is>
      </c>
      <c r="M15" s="8" t="inlineStr">
        <is>
          <t>Indefinido</t>
        </is>
      </c>
      <c r="N15" s="10" t="inlineStr">
        <is>
          <t>2024-03-15</t>
        </is>
      </c>
      <c r="O15" s="8" t="inlineStr">
        <is>
          <t>Remoto</t>
        </is>
      </c>
      <c r="P15" s="8" t="inlineStr">
        <is>
          <t>Tiempo Completo</t>
        </is>
      </c>
      <c r="Q15" s="8" t="inlineStr">
        <is>
          <t>Activo</t>
        </is>
      </c>
      <c r="R15" s="8" t="inlineStr">
        <is>
          <t>Maestría</t>
        </is>
      </c>
      <c r="S15" s="9" t="inlineStr">
        <is>
          <t>Administración de Empresas</t>
        </is>
      </c>
      <c r="T15" s="11" t="n">
        <v>5</v>
      </c>
      <c r="U15" s="9" t="inlineStr">
        <is>
          <t>Global Services</t>
        </is>
      </c>
      <c r="V15" s="9" t="inlineStr">
        <is>
          <t>Analista / Especialista</t>
        </is>
      </c>
      <c r="W15" s="8" t="inlineStr">
        <is>
          <t>B2</t>
        </is>
      </c>
      <c r="X15" s="12" t="n">
        <v>6350000</v>
      </c>
      <c r="Y15" s="12" t="n">
        <v>0</v>
      </c>
      <c r="Z15" s="12" t="n">
        <v>508000</v>
      </c>
      <c r="AA15" s="12" t="n">
        <v>5842000</v>
      </c>
      <c r="AB15" s="8" t="inlineStr">
        <is>
          <t>Transferencia</t>
        </is>
      </c>
      <c r="AC15" s="9" t="inlineStr">
        <is>
          <t>BBVA</t>
        </is>
      </c>
    </row>
    <row r="16" ht="20" customHeight="1">
      <c r="A16" s="3" t="inlineStr">
        <is>
          <t>EMP013</t>
        </is>
      </c>
      <c r="B16" s="4" t="inlineStr">
        <is>
          <t>Mateo</t>
        </is>
      </c>
      <c r="C16" s="4" t="inlineStr">
        <is>
          <t>Morales</t>
        </is>
      </c>
      <c r="D16" s="3" t="inlineStr">
        <is>
          <t>1134567890</t>
        </is>
      </c>
      <c r="E16" s="5" t="inlineStr">
        <is>
          <t>1993-08-08</t>
        </is>
      </c>
      <c r="F16" s="3" t="inlineStr">
        <is>
          <t>M</t>
        </is>
      </c>
      <c r="G16" s="4" t="inlineStr">
        <is>
          <t>Av. Principal # 45-67</t>
        </is>
      </c>
      <c r="H16" s="3" t="inlineStr">
        <is>
          <t>3003478899</t>
        </is>
      </c>
      <c r="I16" s="4" t="inlineStr">
        <is>
          <t>mateo.morales@empresa.com</t>
        </is>
      </c>
      <c r="J16" s="3" t="inlineStr">
        <is>
          <t>Soltero/a</t>
        </is>
      </c>
      <c r="K16" s="4" t="inlineStr">
        <is>
          <t>Contador</t>
        </is>
      </c>
      <c r="L16" s="4" t="inlineStr">
        <is>
          <t>Finanzas</t>
        </is>
      </c>
      <c r="M16" s="3" t="inlineStr">
        <is>
          <t>Indefinido</t>
        </is>
      </c>
      <c r="N16" s="5" t="inlineStr">
        <is>
          <t>2021-04-15</t>
        </is>
      </c>
      <c r="O16" s="3" t="inlineStr">
        <is>
          <t>Bogotá</t>
        </is>
      </c>
      <c r="P16" s="3" t="inlineStr">
        <is>
          <t>Tiempo Completo</t>
        </is>
      </c>
      <c r="Q16" s="3" t="inlineStr">
        <is>
          <t>Activo</t>
        </is>
      </c>
      <c r="R16" s="3" t="inlineStr">
        <is>
          <t>Tecnólogo</t>
        </is>
      </c>
      <c r="S16" s="4" t="inlineStr">
        <is>
          <t>Contaduría Pública</t>
        </is>
      </c>
      <c r="T16" s="6" t="n">
        <v>6</v>
      </c>
      <c r="U16" s="4" t="inlineStr">
        <is>
          <t>Consultores Asociados</t>
        </is>
      </c>
      <c r="V16" s="4" t="inlineStr">
        <is>
          <t>Analista / Especialista</t>
        </is>
      </c>
      <c r="W16" s="3" t="inlineStr">
        <is>
          <t>C1</t>
        </is>
      </c>
      <c r="X16" s="7" t="n">
        <v>6700000</v>
      </c>
      <c r="Y16" s="7" t="n">
        <v>200000</v>
      </c>
      <c r="Z16" s="7" t="n">
        <v>536000</v>
      </c>
      <c r="AA16" s="7" t="n">
        <v>6364000</v>
      </c>
      <c r="AB16" s="3" t="inlineStr">
        <is>
          <t>Transferencia</t>
        </is>
      </c>
      <c r="AC16" s="4" t="inlineStr">
        <is>
          <t>Bancolombia</t>
        </is>
      </c>
    </row>
    <row r="17" ht="20" customHeight="1">
      <c r="A17" s="8" t="inlineStr">
        <is>
          <t>EMP014</t>
        </is>
      </c>
      <c r="B17" s="9" t="inlineStr">
        <is>
          <t>Valentina</t>
        </is>
      </c>
      <c r="C17" s="9" t="inlineStr">
        <is>
          <t>Herrera</t>
        </is>
      </c>
      <c r="D17" s="8" t="inlineStr">
        <is>
          <t>1145678901</t>
        </is>
      </c>
      <c r="E17" s="10" t="inlineStr">
        <is>
          <t>1997-12-14</t>
        </is>
      </c>
      <c r="F17" s="8" t="inlineStr">
        <is>
          <t>F</t>
        </is>
      </c>
      <c r="G17" s="9" t="inlineStr">
        <is>
          <t>Diagonal 15 # 23-45</t>
        </is>
      </c>
      <c r="H17" s="8" t="inlineStr">
        <is>
          <t>3006387105</t>
        </is>
      </c>
      <c r="I17" s="9" t="inlineStr">
        <is>
          <t>valentina.herrera@empresa.com</t>
        </is>
      </c>
      <c r="J17" s="8" t="inlineStr">
        <is>
          <t>Casado/a</t>
        </is>
      </c>
      <c r="K17" s="9" t="inlineStr">
        <is>
          <t>Asistente Administrativo</t>
        </is>
      </c>
      <c r="L17" s="9" t="inlineStr">
        <is>
          <t>Administración</t>
        </is>
      </c>
      <c r="M17" s="8" t="inlineStr">
        <is>
          <t>Fijo a 1 Año</t>
        </is>
      </c>
      <c r="N17" s="10" t="inlineStr">
        <is>
          <t>2022-05-15</t>
        </is>
      </c>
      <c r="O17" s="8" t="inlineStr">
        <is>
          <t>Medellín</t>
        </is>
      </c>
      <c r="P17" s="8" t="inlineStr">
        <is>
          <t>Tiempo Completo</t>
        </is>
      </c>
      <c r="Q17" s="8" t="inlineStr">
        <is>
          <t>Activo</t>
        </is>
      </c>
      <c r="R17" s="8" t="inlineStr">
        <is>
          <t>Profesional</t>
        </is>
      </c>
      <c r="S17" s="9" t="inlineStr">
        <is>
          <t>Diseño Gráfico</t>
        </is>
      </c>
      <c r="T17" s="11" t="n">
        <v>7</v>
      </c>
      <c r="U17" s="9" t="inlineStr">
        <is>
          <t>Banca &amp; Finanzas</t>
        </is>
      </c>
      <c r="V17" s="9" t="inlineStr">
        <is>
          <t>Analista / Especialista</t>
        </is>
      </c>
      <c r="W17" s="8" t="inlineStr">
        <is>
          <t>A2</t>
        </is>
      </c>
      <c r="X17" s="12" t="n">
        <v>7050000</v>
      </c>
      <c r="Y17" s="12" t="n">
        <v>0</v>
      </c>
      <c r="Z17" s="12" t="n">
        <v>564000</v>
      </c>
      <c r="AA17" s="12" t="n">
        <v>6486000</v>
      </c>
      <c r="AB17" s="8" t="inlineStr">
        <is>
          <t>Transferencia</t>
        </is>
      </c>
      <c r="AC17" s="9" t="inlineStr">
        <is>
          <t>Banco de Bogotá</t>
        </is>
      </c>
    </row>
    <row r="18" ht="20" customHeight="1">
      <c r="A18" s="3" t="inlineStr">
        <is>
          <t>EMP015</t>
        </is>
      </c>
      <c r="B18" s="4" t="inlineStr">
        <is>
          <t>Santiago</t>
        </is>
      </c>
      <c r="C18" s="4" t="inlineStr">
        <is>
          <t>Ríos</t>
        </is>
      </c>
      <c r="D18" s="3" t="inlineStr">
        <is>
          <t>1156789012</t>
        </is>
      </c>
      <c r="E18" s="5" t="inlineStr">
        <is>
          <t>1986-03-30</t>
        </is>
      </c>
      <c r="F18" s="3" t="inlineStr">
        <is>
          <t>M</t>
        </is>
      </c>
      <c r="G18" s="4" t="inlineStr">
        <is>
          <t>Transversal 8 # 56-78</t>
        </is>
      </c>
      <c r="H18" s="3" t="inlineStr">
        <is>
          <t>3006283548</t>
        </is>
      </c>
      <c r="I18" s="4" t="inlineStr">
        <is>
          <t>santiago.ríos@empresa.com</t>
        </is>
      </c>
      <c r="J18" s="3" t="inlineStr">
        <is>
          <t>Unión Libre</t>
        </is>
      </c>
      <c r="K18" s="4" t="inlineStr">
        <is>
          <t>Líder de Soporte</t>
        </is>
      </c>
      <c r="L18" s="4" t="inlineStr">
        <is>
          <t>Tecnología</t>
        </is>
      </c>
      <c r="M18" s="3" t="inlineStr">
        <is>
          <t>Obra o Labor</t>
        </is>
      </c>
      <c r="N18" s="5" t="inlineStr">
        <is>
          <t>2023-06-15</t>
        </is>
      </c>
      <c r="O18" s="3" t="inlineStr">
        <is>
          <t>Cali</t>
        </is>
      </c>
      <c r="P18" s="3" t="inlineStr">
        <is>
          <t>Tiempo Completo</t>
        </is>
      </c>
      <c r="Q18" s="3" t="inlineStr">
        <is>
          <t>Activo</t>
        </is>
      </c>
      <c r="R18" s="3" t="inlineStr">
        <is>
          <t>Especialización</t>
        </is>
      </c>
      <c r="S18" s="4" t="inlineStr">
        <is>
          <t>Ingeniería Industrial</t>
        </is>
      </c>
      <c r="T18" s="6" t="n">
        <v>8</v>
      </c>
      <c r="U18" s="4" t="inlineStr">
        <is>
          <t>Innovate Corp</t>
        </is>
      </c>
      <c r="V18" s="4" t="inlineStr">
        <is>
          <t>Analista / Especialista</t>
        </is>
      </c>
      <c r="W18" s="3" t="inlineStr">
        <is>
          <t>B2</t>
        </is>
      </c>
      <c r="X18" s="7" t="n">
        <v>7400000</v>
      </c>
      <c r="Y18" s="7" t="n">
        <v>200000</v>
      </c>
      <c r="Z18" s="7" t="n">
        <v>592000</v>
      </c>
      <c r="AA18" s="7" t="n">
        <v>7008000</v>
      </c>
      <c r="AB18" s="3" t="inlineStr">
        <is>
          <t>Transferencia</t>
        </is>
      </c>
      <c r="AC18" s="4" t="inlineStr">
        <is>
          <t>Davivienda</t>
        </is>
      </c>
    </row>
    <row r="19" ht="20" customHeight="1">
      <c r="A19" s="8" t="inlineStr">
        <is>
          <t>EMP016</t>
        </is>
      </c>
      <c r="B19" s="9" t="inlineStr">
        <is>
          <t>Daniela</t>
        </is>
      </c>
      <c r="C19" s="9" t="inlineStr">
        <is>
          <t>Mendoza</t>
        </is>
      </c>
      <c r="D19" s="8" t="inlineStr">
        <is>
          <t>1167890123</t>
        </is>
      </c>
      <c r="E19" s="10" t="inlineStr">
        <is>
          <t>1992-11-20</t>
        </is>
      </c>
      <c r="F19" s="8" t="inlineStr">
        <is>
          <t>F</t>
        </is>
      </c>
      <c r="G19" s="9" t="inlineStr">
        <is>
          <t>Calle 45 # 12-34</t>
        </is>
      </c>
      <c r="H19" s="8" t="inlineStr">
        <is>
          <t>3004181102</t>
        </is>
      </c>
      <c r="I19" s="9" t="inlineStr">
        <is>
          <t>daniela.mendoza@empresa.com</t>
        </is>
      </c>
      <c r="J19" s="8" t="inlineStr">
        <is>
          <t>Divorciado/a</t>
        </is>
      </c>
      <c r="K19" s="9" t="inlineStr">
        <is>
          <t>Diseñador UX</t>
        </is>
      </c>
      <c r="L19" s="9" t="inlineStr">
        <is>
          <t>Diseño</t>
        </is>
      </c>
      <c r="M19" s="8" t="inlineStr">
        <is>
          <t>Indefinido</t>
        </is>
      </c>
      <c r="N19" s="10" t="inlineStr">
        <is>
          <t>2024-07-15</t>
        </is>
      </c>
      <c r="O19" s="8" t="inlineStr">
        <is>
          <t>Remoto</t>
        </is>
      </c>
      <c r="P19" s="8" t="inlineStr">
        <is>
          <t>Tiempo Completo</t>
        </is>
      </c>
      <c r="Q19" s="8" t="inlineStr">
        <is>
          <t>Activo</t>
        </is>
      </c>
      <c r="R19" s="8" t="inlineStr">
        <is>
          <t>Profesional</t>
        </is>
      </c>
      <c r="S19" s="9" t="inlineStr">
        <is>
          <t>Ingeniería de Sistemas</t>
        </is>
      </c>
      <c r="T19" s="11" t="n">
        <v>9</v>
      </c>
      <c r="U19" s="9" t="inlineStr">
        <is>
          <t>Tech Solutions</t>
        </is>
      </c>
      <c r="V19" s="9" t="inlineStr">
        <is>
          <t>Analista / Especialista</t>
        </is>
      </c>
      <c r="W19" s="8" t="inlineStr">
        <is>
          <t>B1</t>
        </is>
      </c>
      <c r="X19" s="12" t="n">
        <v>7750000</v>
      </c>
      <c r="Y19" s="12" t="n">
        <v>0</v>
      </c>
      <c r="Z19" s="12" t="n">
        <v>620000</v>
      </c>
      <c r="AA19" s="12" t="n">
        <v>7130000</v>
      </c>
      <c r="AB19" s="8" t="inlineStr">
        <is>
          <t>Transferencia</t>
        </is>
      </c>
      <c r="AC19" s="9" t="inlineStr">
        <is>
          <t>BBVA</t>
        </is>
      </c>
    </row>
    <row r="20" ht="20" customHeight="1">
      <c r="A20" s="3" t="inlineStr">
        <is>
          <t>EMP017</t>
        </is>
      </c>
      <c r="B20" s="4" t="inlineStr">
        <is>
          <t>Alejandro</t>
        </is>
      </c>
      <c r="C20" s="4" t="inlineStr">
        <is>
          <t>Suárez</t>
        </is>
      </c>
      <c r="D20" s="3" t="inlineStr">
        <is>
          <t>1178901234</t>
        </is>
      </c>
      <c r="E20" s="5" t="inlineStr">
        <is>
          <t>1980-09-02</t>
        </is>
      </c>
      <c r="F20" s="3" t="inlineStr">
        <is>
          <t>M</t>
        </is>
      </c>
      <c r="G20" s="4" t="inlineStr">
        <is>
          <t>Carrera 7 # 89-12</t>
        </is>
      </c>
      <c r="H20" s="3" t="inlineStr">
        <is>
          <t>3001069342</t>
        </is>
      </c>
      <c r="I20" s="4" t="inlineStr">
        <is>
          <t>alejandro.suárez@empresa.com</t>
        </is>
      </c>
      <c r="J20" s="3" t="inlineStr">
        <is>
          <t>Soltero/a</t>
        </is>
      </c>
      <c r="K20" s="4" t="inlineStr">
        <is>
          <t>Analista de Datos</t>
        </is>
      </c>
      <c r="L20" s="4" t="inlineStr">
        <is>
          <t>Tecnología</t>
        </is>
      </c>
      <c r="M20" s="3" t="inlineStr">
        <is>
          <t>Indefinido</t>
        </is>
      </c>
      <c r="N20" s="5" t="inlineStr">
        <is>
          <t>2021-08-15</t>
        </is>
      </c>
      <c r="O20" s="3" t="inlineStr">
        <is>
          <t>Bogotá</t>
        </is>
      </c>
      <c r="P20" s="3" t="inlineStr">
        <is>
          <t>Tiempo Completo</t>
        </is>
      </c>
      <c r="Q20" s="3" t="inlineStr">
        <is>
          <t>Activo</t>
        </is>
      </c>
      <c r="R20" s="3" t="inlineStr">
        <is>
          <t>Maestría</t>
        </is>
      </c>
      <c r="S20" s="4" t="inlineStr">
        <is>
          <t>Administración de Empresas</t>
        </is>
      </c>
      <c r="T20" s="6" t="n">
        <v>2</v>
      </c>
      <c r="U20" s="4" t="inlineStr">
        <is>
          <t>Global Services</t>
        </is>
      </c>
      <c r="V20" s="4" t="inlineStr">
        <is>
          <t>Analista / Especialista</t>
        </is>
      </c>
      <c r="W20" s="3" t="inlineStr">
        <is>
          <t>B2</t>
        </is>
      </c>
      <c r="X20" s="7" t="n">
        <v>8100000</v>
      </c>
      <c r="Y20" s="7" t="n">
        <v>200000</v>
      </c>
      <c r="Z20" s="7" t="n">
        <v>648000</v>
      </c>
      <c r="AA20" s="7" t="n">
        <v>7652000</v>
      </c>
      <c r="AB20" s="3" t="inlineStr">
        <is>
          <t>Transferencia</t>
        </is>
      </c>
      <c r="AC20" s="4" t="inlineStr">
        <is>
          <t>Bancolombia</t>
        </is>
      </c>
    </row>
    <row r="21" ht="20" customHeight="1">
      <c r="A21" s="8" t="inlineStr">
        <is>
          <t>EMP018</t>
        </is>
      </c>
      <c r="B21" s="9" t="inlineStr">
        <is>
          <t>Mariana</t>
        </is>
      </c>
      <c r="C21" s="9" t="inlineStr">
        <is>
          <t>Aguilar</t>
        </is>
      </c>
      <c r="D21" s="8" t="inlineStr">
        <is>
          <t>1189012345</t>
        </is>
      </c>
      <c r="E21" s="10" t="inlineStr">
        <is>
          <t>1998-04-17</t>
        </is>
      </c>
      <c r="F21" s="8" t="inlineStr">
        <is>
          <t>F</t>
        </is>
      </c>
      <c r="G21" s="9" t="inlineStr">
        <is>
          <t>Av. Principal # 45-67</t>
        </is>
      </c>
      <c r="H21" s="8" t="inlineStr">
        <is>
          <t>3003583144</t>
        </is>
      </c>
      <c r="I21" s="9" t="inlineStr">
        <is>
          <t>mariana.aguilar@empresa.com</t>
        </is>
      </c>
      <c r="J21" s="8" t="inlineStr">
        <is>
          <t>Casado/a</t>
        </is>
      </c>
      <c r="K21" s="9" t="inlineStr">
        <is>
          <t>Desarrollador Senior</t>
        </is>
      </c>
      <c r="L21" s="9" t="inlineStr">
        <is>
          <t>Tecnología</t>
        </is>
      </c>
      <c r="M21" s="8" t="inlineStr">
        <is>
          <t>Fijo a 1 Año</t>
        </is>
      </c>
      <c r="N21" s="10" t="inlineStr">
        <is>
          <t>2022-09-15</t>
        </is>
      </c>
      <c r="O21" s="8" t="inlineStr">
        <is>
          <t>Medellín</t>
        </is>
      </c>
      <c r="P21" s="8" t="inlineStr">
        <is>
          <t>Tiempo Completo</t>
        </is>
      </c>
      <c r="Q21" s="8" t="inlineStr">
        <is>
          <t>Activo</t>
        </is>
      </c>
      <c r="R21" s="8" t="inlineStr">
        <is>
          <t>Tecnólogo</t>
        </is>
      </c>
      <c r="S21" s="9" t="inlineStr">
        <is>
          <t>Contaduría Pública</t>
        </is>
      </c>
      <c r="T21" s="11" t="n">
        <v>3</v>
      </c>
      <c r="U21" s="9" t="inlineStr">
        <is>
          <t>Consultores Asociados</t>
        </is>
      </c>
      <c r="V21" s="9" t="inlineStr">
        <is>
          <t>Analista / Especialista</t>
        </is>
      </c>
      <c r="W21" s="8" t="inlineStr">
        <is>
          <t>C1</t>
        </is>
      </c>
      <c r="X21" s="12" t="n">
        <v>8450000</v>
      </c>
      <c r="Y21" s="12" t="n">
        <v>0</v>
      </c>
      <c r="Z21" s="12" t="n">
        <v>676000</v>
      </c>
      <c r="AA21" s="12" t="n">
        <v>7774000</v>
      </c>
      <c r="AB21" s="8" t="inlineStr">
        <is>
          <t>Transferencia</t>
        </is>
      </c>
      <c r="AC21" s="9" t="inlineStr">
        <is>
          <t>Banco de Bogotá</t>
        </is>
      </c>
    </row>
    <row r="22" ht="20" customHeight="1">
      <c r="A22" s="3" t="inlineStr">
        <is>
          <t>EMP019</t>
        </is>
      </c>
      <c r="B22" s="4" t="inlineStr">
        <is>
          <t>Fernando</t>
        </is>
      </c>
      <c r="C22" s="4" t="inlineStr">
        <is>
          <t>Navarro</t>
        </is>
      </c>
      <c r="D22" s="3" t="inlineStr">
        <is>
          <t>1190123456</t>
        </is>
      </c>
      <c r="E22" s="5" t="inlineStr">
        <is>
          <t>1983-02-28</t>
        </is>
      </c>
      <c r="F22" s="3" t="inlineStr">
        <is>
          <t>M</t>
        </is>
      </c>
      <c r="G22" s="4" t="inlineStr">
        <is>
          <t>Diagonal 15 # 23-45</t>
        </is>
      </c>
      <c r="H22" s="3" t="inlineStr">
        <is>
          <t>3005299806</t>
        </is>
      </c>
      <c r="I22" s="4" t="inlineStr">
        <is>
          <t>fernando.navarro@empresa.com</t>
        </is>
      </c>
      <c r="J22" s="3" t="inlineStr">
        <is>
          <t>Unión Libre</t>
        </is>
      </c>
      <c r="K22" s="4" t="inlineStr">
        <is>
          <t>Especialista RRHH</t>
        </is>
      </c>
      <c r="L22" s="4" t="inlineStr">
        <is>
          <t>Talento Humano</t>
        </is>
      </c>
      <c r="M22" s="3" t="inlineStr">
        <is>
          <t>Obra o Labor</t>
        </is>
      </c>
      <c r="N22" s="5" t="inlineStr">
        <is>
          <t>2023-01-15</t>
        </is>
      </c>
      <c r="O22" s="3" t="inlineStr">
        <is>
          <t>Cali</t>
        </is>
      </c>
      <c r="P22" s="3" t="inlineStr">
        <is>
          <t>Tiempo Completo</t>
        </is>
      </c>
      <c r="Q22" s="3" t="inlineStr">
        <is>
          <t>Inactivo</t>
        </is>
      </c>
      <c r="R22" s="3" t="inlineStr">
        <is>
          <t>Profesional</t>
        </is>
      </c>
      <c r="S22" s="4" t="inlineStr">
        <is>
          <t>Diseño Gráfico</t>
        </is>
      </c>
      <c r="T22" s="6" t="n">
        <v>4</v>
      </c>
      <c r="U22" s="4" t="inlineStr">
        <is>
          <t>Banca &amp; Finanzas</t>
        </is>
      </c>
      <c r="V22" s="4" t="inlineStr">
        <is>
          <t>Analista / Especialista</t>
        </is>
      </c>
      <c r="W22" s="3" t="inlineStr">
        <is>
          <t>A2</t>
        </is>
      </c>
      <c r="X22" s="7" t="n">
        <v>8800000</v>
      </c>
      <c r="Y22" s="7" t="n">
        <v>200000</v>
      </c>
      <c r="Z22" s="7" t="n">
        <v>704000</v>
      </c>
      <c r="AA22" s="7" t="n">
        <v>8296000</v>
      </c>
      <c r="AB22" s="3" t="inlineStr">
        <is>
          <t>Transferencia</t>
        </is>
      </c>
      <c r="AC22" s="4" t="inlineStr">
        <is>
          <t>Davivienda</t>
        </is>
      </c>
    </row>
    <row r="23" ht="20" customHeight="1">
      <c r="A23" s="8" t="inlineStr">
        <is>
          <t>EMP020</t>
        </is>
      </c>
      <c r="B23" s="9" t="inlineStr">
        <is>
          <t>Lucía</t>
        </is>
      </c>
      <c r="C23" s="9" t="inlineStr">
        <is>
          <t>Romero</t>
        </is>
      </c>
      <c r="D23" s="8" t="inlineStr">
        <is>
          <t>1201234567</t>
        </is>
      </c>
      <c r="E23" s="10" t="inlineStr">
        <is>
          <t>1995-07-07</t>
        </is>
      </c>
      <c r="F23" s="8" t="inlineStr">
        <is>
          <t>F</t>
        </is>
      </c>
      <c r="G23" s="9" t="inlineStr">
        <is>
          <t>Transversal 8 # 56-78</t>
        </is>
      </c>
      <c r="H23" s="8" t="inlineStr">
        <is>
          <t>3007055394</t>
        </is>
      </c>
      <c r="I23" s="9" t="inlineStr">
        <is>
          <t>lucía.romero@empresa.com</t>
        </is>
      </c>
      <c r="J23" s="8" t="inlineStr">
        <is>
          <t>Divorciado/a</t>
        </is>
      </c>
      <c r="K23" s="9" t="inlineStr">
        <is>
          <t>Gerente de Proyectos</t>
        </is>
      </c>
      <c r="L23" s="9" t="inlineStr">
        <is>
          <t>Operaciones</t>
        </is>
      </c>
      <c r="M23" s="8" t="inlineStr">
        <is>
          <t>Indefinido</t>
        </is>
      </c>
      <c r="N23" s="10" t="inlineStr">
        <is>
          <t>2024-02-15</t>
        </is>
      </c>
      <c r="O23" s="8" t="inlineStr">
        <is>
          <t>Remoto</t>
        </is>
      </c>
      <c r="P23" s="8" t="inlineStr">
        <is>
          <t>Tiempo Completo</t>
        </is>
      </c>
      <c r="Q23" s="8" t="inlineStr">
        <is>
          <t>Activo</t>
        </is>
      </c>
      <c r="R23" s="8" t="inlineStr">
        <is>
          <t>Especialización</t>
        </is>
      </c>
      <c r="S23" s="9" t="inlineStr">
        <is>
          <t>Ingeniería Industrial</t>
        </is>
      </c>
      <c r="T23" s="11" t="n">
        <v>5</v>
      </c>
      <c r="U23" s="9" t="inlineStr">
        <is>
          <t>Innovate Corp</t>
        </is>
      </c>
      <c r="V23" s="9" t="inlineStr">
        <is>
          <t>Analista / Especialista</t>
        </is>
      </c>
      <c r="W23" s="8" t="inlineStr">
        <is>
          <t>B2</t>
        </is>
      </c>
      <c r="X23" s="12" t="n">
        <v>9150000</v>
      </c>
      <c r="Y23" s="12" t="n">
        <v>0</v>
      </c>
      <c r="Z23" s="12" t="n">
        <v>732000</v>
      </c>
      <c r="AA23" s="12" t="n">
        <v>8418000</v>
      </c>
      <c r="AB23" s="8" t="inlineStr">
        <is>
          <t>Transferencia</t>
        </is>
      </c>
      <c r="AC23" s="9" t="inlineStr">
        <is>
          <t>BBVA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Dashboard Resumen de Talento Humano</t>
        </is>
      </c>
    </row>
    <row r="3">
      <c r="A3" s="13" t="inlineStr">
        <is>
          <t>Métrica KPI</t>
        </is>
      </c>
      <c r="B3" s="13" t="inlineStr">
        <is>
          <t>Valor</t>
        </is>
      </c>
    </row>
    <row r="4">
      <c r="A4" s="14" t="inlineStr">
        <is>
          <t>Total Empleados</t>
        </is>
      </c>
      <c r="B4" s="15">
        <f>COUNTA(DataSet_Master!A4:A23)</f>
        <v/>
      </c>
    </row>
    <row r="5">
      <c r="A5" s="14" t="inlineStr">
        <is>
          <t>Masa Salarial Total (Base)</t>
        </is>
      </c>
      <c r="B5" s="16">
        <f>SUM(DataSet_Master!X4:X23)</f>
        <v/>
      </c>
    </row>
    <row r="6">
      <c r="A6" s="14" t="inlineStr">
        <is>
          <t>Promedio Salario Base</t>
        </is>
      </c>
      <c r="B6" s="16">
        <f>AVERAGE(DataSet_Master!X4:X23)</f>
        <v/>
      </c>
    </row>
    <row r="7">
      <c r="A7" s="14" t="inlineStr">
        <is>
          <t>Promedio Años Experiencia Previa</t>
        </is>
      </c>
      <c r="B7" s="15">
        <f>AVERAGE(DataSet_Master!T4:T23)</f>
        <v/>
      </c>
    </row>
    <row r="8">
      <c r="A8" s="14" t="inlineStr">
        <is>
          <t>Total Bonificaciones</t>
        </is>
      </c>
      <c r="B8" s="16">
        <f>SUM(DataSet_Master!Y4:Y23)</f>
        <v/>
      </c>
    </row>
    <row r="9">
      <c r="A9" s="14" t="inlineStr">
        <is>
          <t>Total Neto a Pagar</t>
        </is>
      </c>
      <c r="B9" s="16">
        <f>SUM(DataSet_Master!AA4:AA23)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2026-09-08T14:36:46Z</dcterms:created>
  <dcterms:modified xmlns:dcterms="http://purl.org/dc/terms/" xmlns:xsi="http://www.w3.org/2001/XMLSchema-instance" xsi:type="dcterms:W3CDTF">2026-09-08T14:36:46Z</dcterms:modified>
</cp:coreProperties>
</file>